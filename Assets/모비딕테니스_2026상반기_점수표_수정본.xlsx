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jeong/Downloads/"/>
    </mc:Choice>
  </mc:AlternateContent>
  <xr:revisionPtr revIDLastSave="0" documentId="8_{C9ABF73A-4D5A-D74F-8158-6800A4154B28}" xr6:coauthVersionLast="47" xr6:coauthVersionMax="47" xr10:uidLastSave="{00000000-0000-0000-0000-000000000000}"/>
  <bookViews>
    <workbookView xWindow="-20" yWindow="760" windowWidth="29400" windowHeight="18360" xr2:uid="{00000000-000D-0000-FFFF-FFFF00000000}"/>
  </bookViews>
  <sheets>
    <sheet name="설정" sheetId="1" r:id="rId1"/>
    <sheet name="대진표" sheetId="2" r:id="rId2"/>
    <sheet name="점수표(총점1000점)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" i="3" l="1"/>
  <c r="F13" i="3" s="1"/>
  <c r="A12" i="3"/>
  <c r="F12" i="3" s="1"/>
  <c r="A11" i="3"/>
  <c r="C11" i="3" s="1"/>
  <c r="A10" i="3"/>
  <c r="B10" i="3" s="1"/>
  <c r="A9" i="3"/>
  <c r="F9" i="3" s="1"/>
  <c r="A8" i="3"/>
  <c r="C8" i="3" s="1"/>
  <c r="A7" i="3"/>
  <c r="F7" i="3" s="1"/>
  <c r="A6" i="3"/>
  <c r="C6" i="3" s="1"/>
  <c r="C5" i="3"/>
  <c r="A5" i="3"/>
  <c r="B5" i="3" s="1"/>
  <c r="A4" i="3"/>
  <c r="F4" i="3" s="1"/>
  <c r="A3" i="3"/>
  <c r="F3" i="3" s="1"/>
  <c r="A2" i="3"/>
  <c r="F2" i="3" s="1"/>
  <c r="H18" i="2"/>
  <c r="G18" i="2"/>
  <c r="D18" i="2"/>
  <c r="C18" i="2"/>
  <c r="H17" i="2"/>
  <c r="G17" i="2"/>
  <c r="D17" i="2"/>
  <c r="C17" i="2"/>
  <c r="C9" i="3" s="1"/>
  <c r="H16" i="2"/>
  <c r="G16" i="2"/>
  <c r="D16" i="2"/>
  <c r="C16" i="2"/>
  <c r="H15" i="2"/>
  <c r="G15" i="2"/>
  <c r="D15" i="2"/>
  <c r="C15" i="2"/>
  <c r="H14" i="2"/>
  <c r="G14" i="2"/>
  <c r="D14" i="2"/>
  <c r="C14" i="2"/>
  <c r="H13" i="2"/>
  <c r="G13" i="2"/>
  <c r="D13" i="2"/>
  <c r="C13" i="2"/>
  <c r="H12" i="2"/>
  <c r="G12" i="2"/>
  <c r="D12" i="2"/>
  <c r="C12" i="2"/>
  <c r="H11" i="2"/>
  <c r="G11" i="2"/>
  <c r="D11" i="2"/>
  <c r="C11" i="2"/>
  <c r="H10" i="2"/>
  <c r="G10" i="2"/>
  <c r="D10" i="2"/>
  <c r="C10" i="2"/>
  <c r="H9" i="2"/>
  <c r="G9" i="2"/>
  <c r="D9" i="2"/>
  <c r="C9" i="2"/>
  <c r="H8" i="2"/>
  <c r="G8" i="2"/>
  <c r="D8" i="2"/>
  <c r="C8" i="2"/>
  <c r="H7" i="2"/>
  <c r="G7" i="2"/>
  <c r="D7" i="2"/>
  <c r="C7" i="2"/>
  <c r="H6" i="2"/>
  <c r="G6" i="2"/>
  <c r="D6" i="2"/>
  <c r="C6" i="2"/>
  <c r="F10" i="3" s="1"/>
  <c r="H5" i="2"/>
  <c r="G5" i="2"/>
  <c r="D5" i="2"/>
  <c r="C5" i="2"/>
  <c r="H4" i="2"/>
  <c r="G4" i="2"/>
  <c r="D4" i="2"/>
  <c r="C4" i="2"/>
  <c r="H3" i="2"/>
  <c r="G3" i="2"/>
  <c r="D3" i="2"/>
  <c r="C3" i="2"/>
  <c r="C10" i="3" s="1"/>
  <c r="H2" i="2"/>
  <c r="G2" i="2"/>
  <c r="D2" i="2"/>
  <c r="C2" i="2"/>
  <c r="D10" i="3" l="1"/>
  <c r="F5" i="3"/>
  <c r="D5" i="3" s="1"/>
  <c r="B4" i="3"/>
  <c r="F6" i="3"/>
  <c r="B9" i="3"/>
  <c r="D9" i="3" s="1"/>
  <c r="F11" i="3"/>
  <c r="B8" i="3"/>
  <c r="C4" i="3"/>
  <c r="B3" i="3"/>
  <c r="B13" i="3"/>
  <c r="C3" i="3"/>
  <c r="C13" i="3"/>
  <c r="B2" i="3"/>
  <c r="B6" i="3"/>
  <c r="F8" i="3"/>
  <c r="B11" i="3"/>
  <c r="B7" i="3"/>
  <c r="B12" i="3"/>
  <c r="C12" i="3"/>
  <c r="C2" i="3"/>
  <c r="C7" i="3"/>
  <c r="H5" i="3" l="1"/>
  <c r="D3" i="3"/>
  <c r="D7" i="3"/>
  <c r="D8" i="3"/>
  <c r="D12" i="3"/>
  <c r="D11" i="3"/>
  <c r="H9" i="3"/>
  <c r="D6" i="3"/>
  <c r="D2" i="3"/>
  <c r="E5" i="3" s="1"/>
  <c r="D4" i="3"/>
  <c r="H10" i="3"/>
  <c r="D13" i="3"/>
  <c r="H6" i="3" l="1"/>
  <c r="E6" i="3"/>
  <c r="E9" i="3"/>
  <c r="H13" i="3"/>
  <c r="E13" i="3"/>
  <c r="E10" i="3"/>
  <c r="H11" i="3"/>
  <c r="E11" i="3"/>
  <c r="E12" i="3"/>
  <c r="H12" i="3"/>
  <c r="E8" i="3"/>
  <c r="H8" i="3"/>
  <c r="E7" i="3"/>
  <c r="H7" i="3"/>
  <c r="E3" i="3"/>
  <c r="H3" i="3"/>
  <c r="E4" i="3"/>
  <c r="H4" i="3"/>
  <c r="I4" i="3" s="1"/>
  <c r="E2" i="3"/>
  <c r="H2" i="3"/>
  <c r="I3" i="3" l="1"/>
  <c r="I7" i="3"/>
  <c r="I8" i="3"/>
  <c r="I11" i="3"/>
  <c r="I9" i="3"/>
  <c r="I13" i="3"/>
  <c r="I5" i="3"/>
  <c r="I10" i="3"/>
  <c r="I2" i="3"/>
  <c r="I12" i="3"/>
  <c r="I6" i="3"/>
</calcChain>
</file>

<file path=xl/sharedStrings.xml><?xml version="1.0" encoding="utf-8"?>
<sst xmlns="http://schemas.openxmlformats.org/spreadsheetml/2006/main" count="156" uniqueCount="110">
  <si>
    <t>직함</t>
  </si>
  <si>
    <t>ID</t>
  </si>
  <si>
    <t>성함 (여기에 입력)</t>
  </si>
  <si>
    <t>성별</t>
  </si>
  <si>
    <t>시드 1</t>
  </si>
  <si>
    <t>S1</t>
  </si>
  <si>
    <t>정종훈</t>
  </si>
  <si>
    <t>남</t>
  </si>
  <si>
    <t>시드 2</t>
  </si>
  <si>
    <t>S2</t>
  </si>
  <si>
    <t>황정원</t>
  </si>
  <si>
    <t>시드 3</t>
  </si>
  <si>
    <t>S3</t>
  </si>
  <si>
    <t>김정준</t>
  </si>
  <si>
    <t>시드 4</t>
  </si>
  <si>
    <t>S4</t>
  </si>
  <si>
    <t>박종춘</t>
  </si>
  <si>
    <t>복식 파트너 구성 원칙</t>
  </si>
  <si>
    <t>시드 5</t>
  </si>
  <si>
    <t>S5</t>
  </si>
  <si>
    <t>황진수</t>
  </si>
  <si>
    <t>1. 시드끼리 팀이 되는 경우는 시드팀만 상대한다.</t>
  </si>
  <si>
    <t>일반 1</t>
  </si>
  <si>
    <t>N1</t>
  </si>
  <si>
    <t>김진찬</t>
  </si>
  <si>
    <t>2. 와일드카드끼리는 같은 팀이 되지 않도록 한다.</t>
  </si>
  <si>
    <t>일반 2</t>
  </si>
  <si>
    <t>N2</t>
  </si>
  <si>
    <t>황경호</t>
  </si>
  <si>
    <t>3. 앞서 같은 팀이었던 사람은 같은 팀이 되지 않도록 한다.</t>
  </si>
  <si>
    <t>일반 3</t>
  </si>
  <si>
    <t>N3</t>
  </si>
  <si>
    <t>신동준</t>
  </si>
  <si>
    <t>4. 여복 팀은 여복 팀만, 남복 팀은 남복 팀만, 혼복 팀은 혼복 팀만 상대한다.</t>
  </si>
  <si>
    <t>일반 4</t>
  </si>
  <si>
    <t>N4w</t>
  </si>
  <si>
    <t>고아라</t>
  </si>
  <si>
    <t>여</t>
  </si>
  <si>
    <t>5. 모든 인원이 가급적 비슷한 경기 수를 배정받을 수 있게 한다.</t>
  </si>
  <si>
    <t>일반 5</t>
  </si>
  <si>
    <t>N5w</t>
  </si>
  <si>
    <t>정채원</t>
  </si>
  <si>
    <t>6. 와일드카드의 체력을 배려한다.</t>
  </si>
  <si>
    <t>WC 1</t>
  </si>
  <si>
    <t>W1w</t>
  </si>
  <si>
    <t>김다현</t>
  </si>
  <si>
    <t>WC 2</t>
  </si>
  <si>
    <t>W2w</t>
  </si>
  <si>
    <t>황지애</t>
  </si>
  <si>
    <t>라운드</t>
  </si>
  <si>
    <t>코트</t>
  </si>
  <si>
    <t>팀1-선수1</t>
  </si>
  <si>
    <t>팀1-선수2</t>
  </si>
  <si>
    <t>팀1점수</t>
  </si>
  <si>
    <t>팀2점수</t>
  </si>
  <si>
    <t>팀2-선수1</t>
  </si>
  <si>
    <t>팀2-선수2</t>
  </si>
  <si>
    <t>경기 유형</t>
  </si>
  <si>
    <t>R1</t>
  </si>
  <si>
    <t>A</t>
  </si>
  <si>
    <t>시드시드 vs 시드시드</t>
  </si>
  <si>
    <t>B</t>
  </si>
  <si>
    <t>남남 vs 남남</t>
  </si>
  <si>
    <t>R2</t>
  </si>
  <si>
    <t>여복 vs 여복</t>
  </si>
  <si>
    <t>R3</t>
  </si>
  <si>
    <t>혼복 vs 혼복</t>
  </si>
  <si>
    <t>R4</t>
  </si>
  <si>
    <t>R5</t>
  </si>
  <si>
    <t>R6</t>
  </si>
  <si>
    <t>R7</t>
  </si>
  <si>
    <t>R8</t>
  </si>
  <si>
    <t>R9</t>
  </si>
  <si>
    <t>성함</t>
  </si>
  <si>
    <t>승리수</t>
  </si>
  <si>
    <t>득실차</t>
  </si>
  <si>
    <t>가중치 합산 점수</t>
  </si>
  <si>
    <t>리그전 순위</t>
  </si>
  <si>
    <t>경기수</t>
  </si>
  <si>
    <t>토너먼트점수</t>
  </si>
  <si>
    <t>총점</t>
  </si>
  <si>
    <t>최종순위</t>
  </si>
  <si>
    <t>구분</t>
  </si>
  <si>
    <t>항목</t>
  </si>
  <si>
    <t>배점</t>
  </si>
  <si>
    <t>적용 및 합산 방식</t>
  </si>
  <si>
    <t>기본 리그</t>
  </si>
  <si>
    <t>경기 승리 (B열)</t>
  </si>
  <si>
    <t>100점</t>
  </si>
  <si>
    <t>승리 1회당 부여 (최우선 순위)</t>
  </si>
  <si>
    <t>경기 참여 (F열)</t>
  </si>
  <si>
    <t>10점</t>
  </si>
  <si>
    <t>1경기당 참여 점수 (활동량 보상)</t>
  </si>
  <si>
    <t>게임 득실차 (C열)</t>
  </si>
  <si>
    <t>1점</t>
  </si>
  <si>
    <t>(득점 - 실점) 총합 반영 (동점자 방지)</t>
  </si>
  <si>
    <t>특별 보너스</t>
  </si>
  <si>
    <t>와일드카드 (WC)</t>
  </si>
  <si>
    <t>30점</t>
  </si>
  <si>
    <t>성함 앞 'W' (설정 시트 기준 초보자 핸디캡)</t>
  </si>
  <si>
    <t>여성 파트너 승리</t>
  </si>
  <si>
    <t>5점</t>
  </si>
  <si>
    <t>성함 뒤 'w' 파트너와 함께 승리 시 추가</t>
  </si>
  <si>
    <t>토너먼트</t>
  </si>
  <si>
    <t>우승팀 보너스</t>
  </si>
  <si>
    <t>80점</t>
  </si>
  <si>
    <t>최종 단체전 승리팀 전원 부여</t>
  </si>
  <si>
    <t>패배팀 보너스</t>
  </si>
  <si>
    <t>40점</t>
  </si>
  <si>
    <t>최종 단체전 참여팀 전원 부여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</si>
</sst>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</font>
    <font>
      <b/>
      <sz val="10"/>
      <color rgb="FF1F1F1F"/>
      <name val="&quot;Google Sans Text&quot;"/>
    </font>
    <font>
      <sz val="10"/>
      <color rgb="FF1F1F1F"/>
      <name val="&quot;Google Sans Text&quot;"/>
    </font>
    <font>
      <sz val="8"/>
      <name val="Arial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/>
    <xf numFmtId="0" fontId="1" fillId="2" borderId="0" xfId="0" applyFont="1" applyFill="1"/>
    <xf numFmtId="0" fontId="3" fillId="0" borderId="1" xfId="0" applyFont="1" applyBorder="1"/>
    <xf numFmtId="0" fontId="1" fillId="0" borderId="0" xfId="0" applyFont="1"/>
    <xf numFmtId="0" fontId="2" fillId="0" borderId="0" xfId="0" applyFont="1"/>
    <xf numFmtId="0" fontId="3" fillId="7" borderId="1" xfId="0" applyFont="1" applyFill="1" applyBorder="1"/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2" fillId="6" borderId="1" xfId="0" applyFont="1" applyFill="1" applyBorder="1"/>
    <xf numFmtId="0" fontId="4" fillId="6" borderId="1" xfId="0" applyFont="1" applyFill="1" applyBorder="1" applyAlignment="1">
      <alignment horizontal="center"/>
    </xf>
    <xf numFmtId="0" fontId="2" fillId="3" borderId="1" xfId="0" applyFont="1" applyFill="1" applyBorder="1"/>
    <xf numFmtId="0" fontId="4" fillId="3" borderId="2" xfId="0" applyFont="1" applyFill="1" applyBorder="1" applyAlignment="1">
      <alignment horizontal="left"/>
    </xf>
    <xf numFmtId="0" fontId="4" fillId="5" borderId="1" xfId="0" applyFont="1" applyFill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4" fillId="3" borderId="3" xfId="0" applyFont="1" applyFill="1" applyBorder="1" applyAlignment="1">
      <alignment horizontal="left"/>
    </xf>
    <xf numFmtId="0" fontId="4" fillId="3" borderId="4" xfId="0" applyFont="1" applyFill="1" applyBorder="1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9"/>
  <sheetViews>
    <sheetView tabSelected="1" workbookViewId="0"/>
  </sheetViews>
  <sheetFormatPr baseColWidth="10" defaultColWidth="12.6640625" defaultRowHeight="15.75" customHeight="1"/>
  <sheetData>
    <row r="1" spans="1:9" ht="15.75" customHeight="1">
      <c r="A1" s="3" t="s">
        <v>0</v>
      </c>
      <c r="B1" s="3" t="s">
        <v>1</v>
      </c>
      <c r="C1" s="3" t="s">
        <v>2</v>
      </c>
      <c r="D1" s="3" t="s">
        <v>3</v>
      </c>
    </row>
    <row r="2" spans="1:9" ht="15.75" customHeight="1">
      <c r="A2" s="3" t="s">
        <v>4</v>
      </c>
      <c r="B2" s="3" t="s">
        <v>5</v>
      </c>
      <c r="C2" s="3" t="s">
        <v>6</v>
      </c>
      <c r="D2" s="3" t="s">
        <v>7</v>
      </c>
    </row>
    <row r="3" spans="1:9" ht="15.75" customHeight="1">
      <c r="A3" s="3" t="s">
        <v>8</v>
      </c>
      <c r="B3" s="3" t="s">
        <v>9</v>
      </c>
      <c r="C3" s="3" t="s">
        <v>10</v>
      </c>
      <c r="D3" s="3" t="s">
        <v>7</v>
      </c>
    </row>
    <row r="4" spans="1:9" ht="15.75" customHeight="1">
      <c r="A4" s="3" t="s">
        <v>11</v>
      </c>
      <c r="B4" s="3" t="s">
        <v>12</v>
      </c>
      <c r="C4" s="3" t="s">
        <v>13</v>
      </c>
      <c r="D4" s="3" t="s">
        <v>7</v>
      </c>
    </row>
    <row r="5" spans="1:9" ht="15.75" customHeight="1">
      <c r="A5" s="3" t="s">
        <v>14</v>
      </c>
      <c r="B5" s="3" t="s">
        <v>15</v>
      </c>
      <c r="C5" s="3" t="s">
        <v>16</v>
      </c>
      <c r="D5" s="3" t="s">
        <v>7</v>
      </c>
      <c r="F5" s="4" t="s">
        <v>17</v>
      </c>
    </row>
    <row r="6" spans="1:9" ht="15.75" customHeight="1">
      <c r="A6" s="3" t="s">
        <v>18</v>
      </c>
      <c r="B6" s="3" t="s">
        <v>19</v>
      </c>
      <c r="C6" s="3" t="s">
        <v>20</v>
      </c>
      <c r="D6" s="3" t="s">
        <v>7</v>
      </c>
      <c r="F6" s="4" t="s">
        <v>21</v>
      </c>
    </row>
    <row r="7" spans="1:9" ht="15.75" customHeight="1">
      <c r="A7" s="3" t="s">
        <v>22</v>
      </c>
      <c r="B7" s="3" t="s">
        <v>23</v>
      </c>
      <c r="C7" s="3" t="s">
        <v>24</v>
      </c>
      <c r="D7" s="3" t="s">
        <v>7</v>
      </c>
      <c r="F7" s="4" t="s">
        <v>25</v>
      </c>
    </row>
    <row r="8" spans="1:9" ht="15.75" customHeight="1">
      <c r="A8" s="3" t="s">
        <v>26</v>
      </c>
      <c r="B8" s="3" t="s">
        <v>27</v>
      </c>
      <c r="C8" s="3" t="s">
        <v>28</v>
      </c>
      <c r="D8" s="3" t="s">
        <v>7</v>
      </c>
      <c r="F8" s="4" t="s">
        <v>29</v>
      </c>
    </row>
    <row r="9" spans="1:9" ht="15.75" customHeight="1">
      <c r="A9" s="3" t="s">
        <v>30</v>
      </c>
      <c r="B9" s="3" t="s">
        <v>31</v>
      </c>
      <c r="C9" s="3" t="s">
        <v>32</v>
      </c>
      <c r="D9" s="3" t="s">
        <v>7</v>
      </c>
      <c r="F9" s="4" t="s">
        <v>33</v>
      </c>
    </row>
    <row r="10" spans="1:9" ht="15.75" customHeight="1">
      <c r="A10" s="3" t="s">
        <v>34</v>
      </c>
      <c r="B10" s="3" t="s">
        <v>35</v>
      </c>
      <c r="C10" s="3" t="s">
        <v>36</v>
      </c>
      <c r="D10" s="3" t="s">
        <v>37</v>
      </c>
      <c r="F10" s="4" t="s">
        <v>38</v>
      </c>
    </row>
    <row r="11" spans="1:9" ht="15.75" customHeight="1">
      <c r="A11" s="3" t="s">
        <v>39</v>
      </c>
      <c r="B11" s="3" t="s">
        <v>40</v>
      </c>
      <c r="C11" s="3" t="s">
        <v>41</v>
      </c>
      <c r="D11" s="3" t="s">
        <v>37</v>
      </c>
      <c r="F11" s="4" t="s">
        <v>42</v>
      </c>
      <c r="H11" s="5"/>
      <c r="I11" s="5"/>
    </row>
    <row r="12" spans="1:9" ht="15.75" customHeight="1">
      <c r="A12" s="3" t="s">
        <v>43</v>
      </c>
      <c r="B12" s="3" t="s">
        <v>44</v>
      </c>
      <c r="C12" s="3" t="s">
        <v>45</v>
      </c>
      <c r="D12" s="3" t="s">
        <v>37</v>
      </c>
      <c r="H12" s="5"/>
      <c r="I12" s="5"/>
    </row>
    <row r="13" spans="1:9" ht="15.75" customHeight="1">
      <c r="A13" s="3" t="s">
        <v>46</v>
      </c>
      <c r="B13" s="3" t="s">
        <v>47</v>
      </c>
      <c r="C13" s="3" t="s">
        <v>48</v>
      </c>
      <c r="D13" s="3" t="s">
        <v>37</v>
      </c>
      <c r="H13" s="5"/>
      <c r="I13" s="5"/>
    </row>
    <row r="14" spans="1:9" ht="15.75" customHeight="1">
      <c r="H14" s="5"/>
      <c r="I14" s="5"/>
    </row>
    <row r="15" spans="1:9" ht="15.75" customHeight="1">
      <c r="H15" s="5"/>
      <c r="I15" s="5"/>
    </row>
    <row r="16" spans="1:9" ht="15.75" customHeight="1">
      <c r="H16" s="5"/>
      <c r="I16" s="5"/>
    </row>
    <row r="17" spans="8:9" ht="15.75" customHeight="1">
      <c r="H17" s="5"/>
      <c r="I17" s="5"/>
    </row>
    <row r="18" spans="8:9" ht="15.75" customHeight="1">
      <c r="H18" s="5"/>
      <c r="I18" s="5"/>
    </row>
    <row r="19" spans="8:9" ht="15.75" customHeight="1">
      <c r="H19" s="5"/>
      <c r="I19" s="5"/>
    </row>
  </sheetData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52"/>
  <sheetViews>
    <sheetView workbookViewId="0"/>
  </sheetViews>
  <sheetFormatPr baseColWidth="10" defaultColWidth="12.6640625" defaultRowHeight="15.75" customHeight="1"/>
  <cols>
    <col min="9" max="9" width="15.83203125" customWidth="1"/>
  </cols>
  <sheetData>
    <row r="1" spans="1:9" ht="13">
      <c r="A1" s="6" t="s">
        <v>49</v>
      </c>
      <c r="B1" s="6" t="s">
        <v>50</v>
      </c>
      <c r="C1" s="6" t="s">
        <v>51</v>
      </c>
      <c r="D1" s="6" t="s">
        <v>52</v>
      </c>
      <c r="E1" s="6" t="s">
        <v>53</v>
      </c>
      <c r="F1" s="6" t="s">
        <v>54</v>
      </c>
      <c r="G1" s="6" t="s">
        <v>55</v>
      </c>
      <c r="H1" s="6" t="s">
        <v>56</v>
      </c>
      <c r="I1" s="6" t="s">
        <v>57</v>
      </c>
    </row>
    <row r="2" spans="1:9" ht="13">
      <c r="A2" s="7" t="s">
        <v>58</v>
      </c>
      <c r="B2" s="7" t="s">
        <v>59</v>
      </c>
      <c r="C2" s="8" t="str">
        <f>설정!$C$2</f>
        <v>정종훈</v>
      </c>
      <c r="D2" s="8" t="str">
        <f>설정!$C$3</f>
        <v>황정원</v>
      </c>
      <c r="E2" s="7">
        <v>3</v>
      </c>
      <c r="F2" s="7">
        <v>1</v>
      </c>
      <c r="G2" s="8" t="str">
        <f>설정!$C$4</f>
        <v>김정준</v>
      </c>
      <c r="H2" s="8" t="str">
        <f>설정!$C$5</f>
        <v>박종춘</v>
      </c>
      <c r="I2" s="7" t="s">
        <v>60</v>
      </c>
    </row>
    <row r="3" spans="1:9" ht="13">
      <c r="A3" s="7" t="s">
        <v>58</v>
      </c>
      <c r="B3" s="7" t="s">
        <v>61</v>
      </c>
      <c r="C3" s="8" t="str">
        <f>설정!$C$6</f>
        <v>황진수</v>
      </c>
      <c r="D3" s="8" t="str">
        <f>설정!$C$7</f>
        <v>김진찬</v>
      </c>
      <c r="E3" s="7">
        <v>3</v>
      </c>
      <c r="F3" s="7">
        <v>1</v>
      </c>
      <c r="G3" s="8" t="str">
        <f>설정!$C$8</f>
        <v>황경호</v>
      </c>
      <c r="H3" s="8" t="str">
        <f>설정!$C$9</f>
        <v>신동준</v>
      </c>
      <c r="I3" s="7" t="s">
        <v>62</v>
      </c>
    </row>
    <row r="4" spans="1:9" ht="13">
      <c r="A4" s="3" t="s">
        <v>63</v>
      </c>
      <c r="B4" s="3" t="s">
        <v>59</v>
      </c>
      <c r="C4" s="9" t="str">
        <f>설정!$C$10</f>
        <v>고아라</v>
      </c>
      <c r="D4" s="9" t="str">
        <f>설정!$C$12</f>
        <v>김다현</v>
      </c>
      <c r="E4" s="3">
        <v>3</v>
      </c>
      <c r="F4" s="3">
        <v>0</v>
      </c>
      <c r="G4" s="9" t="str">
        <f>설정!$C$11</f>
        <v>정채원</v>
      </c>
      <c r="H4" s="9" t="str">
        <f>설정!$C$13</f>
        <v>황지애</v>
      </c>
      <c r="I4" s="3" t="s">
        <v>64</v>
      </c>
    </row>
    <row r="5" spans="1:9" ht="13">
      <c r="A5" s="3" t="s">
        <v>63</v>
      </c>
      <c r="B5" s="3" t="s">
        <v>61</v>
      </c>
      <c r="C5" s="9" t="str">
        <f>설정!$C$2</f>
        <v>정종훈</v>
      </c>
      <c r="D5" s="9" t="str">
        <f>설정!$C$8</f>
        <v>황경호</v>
      </c>
      <c r="E5" s="3">
        <v>0</v>
      </c>
      <c r="F5" s="3">
        <v>3</v>
      </c>
      <c r="G5" s="9" t="str">
        <f>설정!$C$3</f>
        <v>황정원</v>
      </c>
      <c r="H5" s="9" t="str">
        <f>설정!$C$9</f>
        <v>신동준</v>
      </c>
      <c r="I5" s="3" t="s">
        <v>62</v>
      </c>
    </row>
    <row r="6" spans="1:9" ht="13">
      <c r="A6" s="7" t="s">
        <v>65</v>
      </c>
      <c r="B6" s="7" t="s">
        <v>59</v>
      </c>
      <c r="C6" s="8" t="str">
        <f>설정!$C$4</f>
        <v>김정준</v>
      </c>
      <c r="D6" s="8" t="str">
        <f>설정!$C$10</f>
        <v>고아라</v>
      </c>
      <c r="E6" s="7">
        <v>3</v>
      </c>
      <c r="F6" s="7">
        <v>0</v>
      </c>
      <c r="G6" s="8" t="str">
        <f>설정!$C$5</f>
        <v>박종춘</v>
      </c>
      <c r="H6" s="8" t="str">
        <f>설정!$C$11</f>
        <v>정채원</v>
      </c>
      <c r="I6" s="7" t="s">
        <v>66</v>
      </c>
    </row>
    <row r="7" spans="1:9" ht="13">
      <c r="A7" s="7" t="s">
        <v>65</v>
      </c>
      <c r="B7" s="7" t="s">
        <v>61</v>
      </c>
      <c r="C7" s="8" t="str">
        <f>설정!$C$6</f>
        <v>황진수</v>
      </c>
      <c r="D7" s="8" t="str">
        <f>설정!$C$13</f>
        <v>황지애</v>
      </c>
      <c r="E7" s="7">
        <v>1</v>
      </c>
      <c r="F7" s="7">
        <v>3</v>
      </c>
      <c r="G7" s="8" t="str">
        <f>설정!$C$7</f>
        <v>김진찬</v>
      </c>
      <c r="H7" s="8" t="str">
        <f>설정!$C$12</f>
        <v>김다현</v>
      </c>
      <c r="I7" s="7" t="s">
        <v>66</v>
      </c>
    </row>
    <row r="8" spans="1:9" ht="13">
      <c r="A8" s="3" t="s">
        <v>67</v>
      </c>
      <c r="B8" s="3" t="s">
        <v>59</v>
      </c>
      <c r="C8" s="9" t="str">
        <f>설정!$C$2</f>
        <v>정종훈</v>
      </c>
      <c r="D8" s="9" t="str">
        <f>설정!$C$4</f>
        <v>김정준</v>
      </c>
      <c r="E8" s="3">
        <v>3</v>
      </c>
      <c r="F8" s="3">
        <v>2</v>
      </c>
      <c r="G8" s="9" t="str">
        <f>설정!$C$3</f>
        <v>황정원</v>
      </c>
      <c r="H8" s="9" t="str">
        <f>설정!$C$5</f>
        <v>박종춘</v>
      </c>
      <c r="I8" s="3" t="s">
        <v>60</v>
      </c>
    </row>
    <row r="9" spans="1:9" ht="13">
      <c r="A9" s="3" t="s">
        <v>67</v>
      </c>
      <c r="B9" s="3" t="s">
        <v>61</v>
      </c>
      <c r="C9" s="9" t="str">
        <f>설정!$C$8</f>
        <v>황경호</v>
      </c>
      <c r="D9" s="9" t="str">
        <f>설정!$C$11</f>
        <v>정채원</v>
      </c>
      <c r="E9" s="3">
        <v>1</v>
      </c>
      <c r="F9" s="3">
        <v>3</v>
      </c>
      <c r="G9" s="9" t="str">
        <f>설정!$C$9</f>
        <v>신동준</v>
      </c>
      <c r="H9" s="9" t="str">
        <f>설정!$C$10</f>
        <v>고아라</v>
      </c>
      <c r="I9" s="3" t="s">
        <v>66</v>
      </c>
    </row>
    <row r="10" spans="1:9" ht="13">
      <c r="A10" s="7" t="s">
        <v>68</v>
      </c>
      <c r="B10" s="7" t="s">
        <v>59</v>
      </c>
      <c r="C10" s="8" t="str">
        <f>설정!$C$6</f>
        <v>황진수</v>
      </c>
      <c r="D10" s="8" t="str">
        <f>설정!$C$2</f>
        <v>정종훈</v>
      </c>
      <c r="E10" s="7">
        <v>3</v>
      </c>
      <c r="F10" s="7">
        <v>1</v>
      </c>
      <c r="G10" s="8" t="str">
        <f>설정!$C$7</f>
        <v>김진찬</v>
      </c>
      <c r="H10" s="8" t="str">
        <f>설정!$C$3</f>
        <v>황정원</v>
      </c>
      <c r="I10" s="7" t="s">
        <v>62</v>
      </c>
    </row>
    <row r="11" spans="1:9" ht="13">
      <c r="A11" s="7" t="s">
        <v>68</v>
      </c>
      <c r="B11" s="7" t="s">
        <v>61</v>
      </c>
      <c r="C11" s="8" t="str">
        <f>설정!$C$4</f>
        <v>김정준</v>
      </c>
      <c r="D11" s="8" t="str">
        <f>설정!$C$8</f>
        <v>황경호</v>
      </c>
      <c r="E11" s="7">
        <v>3</v>
      </c>
      <c r="F11" s="7">
        <v>0</v>
      </c>
      <c r="G11" s="8" t="str">
        <f>설정!$C$5</f>
        <v>박종춘</v>
      </c>
      <c r="H11" s="8" t="str">
        <f>설정!$C$9</f>
        <v>신동준</v>
      </c>
      <c r="I11" s="7" t="s">
        <v>62</v>
      </c>
    </row>
    <row r="12" spans="1:9" ht="13">
      <c r="A12" s="3" t="s">
        <v>69</v>
      </c>
      <c r="B12" s="3" t="s">
        <v>59</v>
      </c>
      <c r="C12" s="9" t="str">
        <f>설정!$C$10</f>
        <v>고아라</v>
      </c>
      <c r="D12" s="9" t="str">
        <f>설정!$C$13</f>
        <v>황지애</v>
      </c>
      <c r="E12" s="3">
        <v>3</v>
      </c>
      <c r="F12" s="3">
        <v>1</v>
      </c>
      <c r="G12" s="9" t="str">
        <f>설정!$C$11</f>
        <v>정채원</v>
      </c>
      <c r="H12" s="9" t="str">
        <f>설정!$C$12</f>
        <v>김다현</v>
      </c>
      <c r="I12" s="3" t="s">
        <v>64</v>
      </c>
    </row>
    <row r="13" spans="1:9" ht="13">
      <c r="A13" s="3" t="s">
        <v>69</v>
      </c>
      <c r="B13" s="3" t="s">
        <v>61</v>
      </c>
      <c r="C13" s="9" t="str">
        <f>설정!$C$6</f>
        <v>황진수</v>
      </c>
      <c r="D13" s="9" t="str">
        <f>설정!$C$8</f>
        <v>황경호</v>
      </c>
      <c r="E13" s="3">
        <v>3</v>
      </c>
      <c r="F13" s="3">
        <v>0</v>
      </c>
      <c r="G13" s="9" t="str">
        <f>설정!$C$7</f>
        <v>김진찬</v>
      </c>
      <c r="H13" s="9" t="str">
        <f>설정!$C$9</f>
        <v>신동준</v>
      </c>
      <c r="I13" s="3" t="s">
        <v>62</v>
      </c>
    </row>
    <row r="14" spans="1:9" ht="13">
      <c r="A14" s="7" t="s">
        <v>70</v>
      </c>
      <c r="B14" s="7" t="s">
        <v>59</v>
      </c>
      <c r="C14" s="8" t="str">
        <f>설정!$C$2</f>
        <v>정종훈</v>
      </c>
      <c r="D14" s="8" t="str">
        <f>설정!$C$11</f>
        <v>정채원</v>
      </c>
      <c r="E14" s="7">
        <v>1</v>
      </c>
      <c r="F14" s="7">
        <v>3</v>
      </c>
      <c r="G14" s="8" t="str">
        <f>설정!$C$3</f>
        <v>황정원</v>
      </c>
      <c r="H14" s="8" t="str">
        <f>설정!$C$10</f>
        <v>고아라</v>
      </c>
      <c r="I14" s="7" t="s">
        <v>66</v>
      </c>
    </row>
    <row r="15" spans="1:9" ht="13">
      <c r="A15" s="7" t="s">
        <v>70</v>
      </c>
      <c r="B15" s="7" t="s">
        <v>61</v>
      </c>
      <c r="C15" s="8" t="str">
        <f>설정!$C$4</f>
        <v>김정준</v>
      </c>
      <c r="D15" s="8" t="str">
        <f>설정!$C$13</f>
        <v>황지애</v>
      </c>
      <c r="E15" s="7">
        <v>3</v>
      </c>
      <c r="F15" s="7">
        <v>1</v>
      </c>
      <c r="G15" s="8" t="str">
        <f>설정!$C$5</f>
        <v>박종춘</v>
      </c>
      <c r="H15" s="8" t="str">
        <f>설정!$C$12</f>
        <v>김다현</v>
      </c>
      <c r="I15" s="7" t="s">
        <v>66</v>
      </c>
    </row>
    <row r="16" spans="1:9" ht="13">
      <c r="A16" s="3" t="s">
        <v>71</v>
      </c>
      <c r="B16" s="3" t="s">
        <v>59</v>
      </c>
      <c r="C16" s="9" t="str">
        <f>설정!$C$6</f>
        <v>황진수</v>
      </c>
      <c r="D16" s="9" t="str">
        <f>설정!$C$4</f>
        <v>김정준</v>
      </c>
      <c r="E16" s="3">
        <v>3</v>
      </c>
      <c r="F16" s="3">
        <v>0</v>
      </c>
      <c r="G16" s="9" t="str">
        <f>설정!$C$2</f>
        <v>정종훈</v>
      </c>
      <c r="H16" s="9" t="str">
        <f>설정!$C$5</f>
        <v>박종춘</v>
      </c>
      <c r="I16" s="3" t="s">
        <v>60</v>
      </c>
    </row>
    <row r="17" spans="1:16" ht="13">
      <c r="A17" s="3" t="s">
        <v>71</v>
      </c>
      <c r="B17" s="3" t="s">
        <v>59</v>
      </c>
      <c r="C17" s="9" t="str">
        <f>설정!$C$8</f>
        <v>황경호</v>
      </c>
      <c r="D17" s="9" t="str">
        <f>설정!$C$3</f>
        <v>황정원</v>
      </c>
      <c r="E17" s="3">
        <v>3</v>
      </c>
      <c r="F17" s="3">
        <v>0</v>
      </c>
      <c r="G17" s="9" t="str">
        <f>설정!$C$9</f>
        <v>신동준</v>
      </c>
      <c r="H17" s="9" t="str">
        <f>설정!$C$7</f>
        <v>김진찬</v>
      </c>
      <c r="I17" s="3" t="s">
        <v>62</v>
      </c>
    </row>
    <row r="18" spans="1:16" ht="13">
      <c r="A18" s="7" t="s">
        <v>72</v>
      </c>
      <c r="B18" s="7" t="s">
        <v>59</v>
      </c>
      <c r="C18" s="8" t="str">
        <f>설정!$C$6</f>
        <v>황진수</v>
      </c>
      <c r="D18" s="8" t="str">
        <f>설정!$C$11</f>
        <v>정채원</v>
      </c>
      <c r="E18" s="7">
        <v>3</v>
      </c>
      <c r="F18" s="7">
        <v>0</v>
      </c>
      <c r="G18" s="8" t="str">
        <f>설정!$C$7</f>
        <v>김진찬</v>
      </c>
      <c r="H18" s="8" t="str">
        <f>설정!$C$10</f>
        <v>고아라</v>
      </c>
      <c r="I18" s="7" t="s">
        <v>66</v>
      </c>
    </row>
    <row r="19" spans="1:16" ht="13">
      <c r="A19" s="10"/>
      <c r="B19" s="10"/>
      <c r="C19" s="11"/>
      <c r="D19" s="11"/>
      <c r="E19" s="10"/>
      <c r="F19" s="10"/>
      <c r="G19" s="11"/>
      <c r="H19" s="11"/>
      <c r="I19" s="10"/>
    </row>
    <row r="20" spans="1:16" ht="13">
      <c r="A20" s="10"/>
      <c r="B20" s="10"/>
      <c r="C20" s="11"/>
      <c r="D20" s="11"/>
      <c r="E20" s="10"/>
      <c r="F20" s="10"/>
      <c r="G20" s="11"/>
      <c r="H20" s="11"/>
      <c r="I20" s="10"/>
    </row>
    <row r="21" spans="1:16" ht="13">
      <c r="A21" s="12"/>
      <c r="B21" s="12"/>
      <c r="C21" s="13"/>
      <c r="D21" s="13"/>
      <c r="E21" s="12"/>
      <c r="F21" s="12"/>
      <c r="G21" s="13"/>
      <c r="H21" s="13"/>
      <c r="I21" s="12"/>
      <c r="J21" s="2"/>
      <c r="K21" s="2"/>
      <c r="L21" s="2"/>
      <c r="M21" s="2"/>
      <c r="N21" s="2"/>
      <c r="O21" s="2"/>
      <c r="P21" s="2"/>
    </row>
    <row r="22" spans="1:16" ht="13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</row>
    <row r="23" spans="1:16" ht="13">
      <c r="A23" s="12"/>
      <c r="B23" s="12"/>
      <c r="C23" s="13"/>
      <c r="D23" s="13"/>
      <c r="E23" s="12"/>
      <c r="F23" s="12"/>
      <c r="G23" s="13"/>
      <c r="H23" s="13"/>
      <c r="I23" s="12"/>
      <c r="J23" s="12"/>
      <c r="K23" s="12"/>
      <c r="L23" s="12"/>
      <c r="M23" s="12"/>
      <c r="N23" s="12"/>
      <c r="O23" s="12"/>
      <c r="P23" s="12"/>
    </row>
    <row r="24" spans="1:16" ht="13">
      <c r="A24" s="12"/>
      <c r="B24" s="12"/>
      <c r="C24" s="13"/>
      <c r="D24" s="13"/>
      <c r="E24" s="12"/>
      <c r="F24" s="12"/>
      <c r="G24" s="13"/>
      <c r="H24" s="13"/>
      <c r="I24" s="12"/>
      <c r="J24" s="12"/>
      <c r="K24" s="12"/>
      <c r="L24" s="12"/>
      <c r="M24" s="12"/>
      <c r="N24" s="12"/>
      <c r="O24" s="12"/>
      <c r="P24" s="12"/>
    </row>
    <row r="25" spans="1:16" ht="13">
      <c r="A25" s="12"/>
      <c r="B25" s="12"/>
      <c r="C25" s="13"/>
      <c r="D25" s="13"/>
      <c r="E25" s="12"/>
      <c r="F25" s="12"/>
      <c r="G25" s="13"/>
      <c r="H25" s="13"/>
      <c r="I25" s="12"/>
      <c r="J25" s="12"/>
      <c r="K25" s="12"/>
      <c r="L25" s="12"/>
      <c r="M25" s="12"/>
      <c r="N25" s="12"/>
      <c r="O25" s="12"/>
      <c r="P25" s="12"/>
    </row>
    <row r="26" spans="1:16" ht="13">
      <c r="A26" s="12"/>
      <c r="B26" s="12"/>
      <c r="C26" s="13"/>
      <c r="D26" s="13"/>
      <c r="E26" s="12"/>
      <c r="F26" s="12"/>
      <c r="G26" s="13"/>
      <c r="H26" s="13"/>
      <c r="I26" s="12"/>
      <c r="J26" s="12"/>
      <c r="K26" s="12"/>
      <c r="L26" s="12"/>
      <c r="M26" s="12"/>
      <c r="N26" s="12"/>
      <c r="O26" s="12"/>
      <c r="P26" s="12"/>
    </row>
    <row r="27" spans="1:16" ht="13">
      <c r="A27" s="12"/>
      <c r="B27" s="12"/>
      <c r="C27" s="13"/>
      <c r="D27" s="13"/>
      <c r="E27" s="12"/>
      <c r="F27" s="12"/>
      <c r="G27" s="13"/>
      <c r="H27" s="13"/>
      <c r="I27" s="12"/>
      <c r="J27" s="12"/>
      <c r="K27" s="12"/>
      <c r="L27" s="12"/>
      <c r="M27" s="12"/>
      <c r="N27" s="12"/>
      <c r="O27" s="12"/>
      <c r="P27" s="12"/>
    </row>
    <row r="28" spans="1:16" ht="13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</row>
    <row r="29" spans="1:16" ht="13">
      <c r="A29" s="12"/>
      <c r="B29" s="12"/>
      <c r="C29" s="13"/>
      <c r="D29" s="13"/>
      <c r="E29" s="12"/>
      <c r="F29" s="12"/>
      <c r="G29" s="13"/>
      <c r="H29" s="13"/>
      <c r="I29" s="12"/>
      <c r="J29" s="12"/>
      <c r="K29" s="12"/>
      <c r="L29" s="12"/>
      <c r="M29" s="12"/>
      <c r="N29" s="12"/>
      <c r="O29" s="12"/>
      <c r="P29" s="12"/>
    </row>
    <row r="30" spans="1:16" ht="13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</row>
    <row r="31" spans="1:16" ht="13">
      <c r="A31" s="12"/>
      <c r="B31" s="12"/>
      <c r="C31" s="13"/>
      <c r="D31" s="13"/>
      <c r="E31" s="12"/>
      <c r="F31" s="12"/>
      <c r="G31" s="13"/>
      <c r="H31" s="13"/>
      <c r="I31" s="12"/>
      <c r="J31" s="12"/>
      <c r="K31" s="12"/>
      <c r="L31" s="12"/>
      <c r="M31" s="12"/>
      <c r="N31" s="12"/>
      <c r="O31" s="12"/>
      <c r="P31" s="12"/>
    </row>
    <row r="32" spans="1:16" ht="13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</row>
    <row r="33" spans="1:16" ht="1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</row>
    <row r="34" spans="1:16" ht="13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</row>
    <row r="35" spans="1:16" ht="13">
      <c r="A35" s="12"/>
      <c r="B35" s="12"/>
      <c r="C35" s="13"/>
      <c r="D35" s="13"/>
      <c r="E35" s="12"/>
      <c r="F35" s="12"/>
      <c r="G35" s="13"/>
      <c r="H35" s="13"/>
      <c r="I35" s="12"/>
      <c r="J35" s="12"/>
      <c r="K35" s="12"/>
      <c r="L35" s="12"/>
      <c r="M35" s="12"/>
      <c r="N35" s="12"/>
      <c r="O35" s="12"/>
      <c r="P35" s="12"/>
    </row>
    <row r="36" spans="1:16" ht="13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</row>
    <row r="37" spans="1:16" ht="13">
      <c r="A37" s="12"/>
      <c r="B37" s="12"/>
      <c r="C37" s="13"/>
      <c r="D37" s="13"/>
      <c r="E37" s="12"/>
      <c r="F37" s="12"/>
      <c r="G37" s="13"/>
      <c r="H37" s="13"/>
      <c r="I37" s="12"/>
      <c r="J37" s="12"/>
      <c r="K37" s="12"/>
      <c r="L37" s="12"/>
      <c r="M37" s="12"/>
      <c r="N37" s="12"/>
      <c r="O37" s="12"/>
      <c r="P37" s="12"/>
    </row>
    <row r="38" spans="1:16" ht="13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</row>
    <row r="39" spans="1:16" ht="15" customHeight="1">
      <c r="A39" s="12"/>
      <c r="B39" s="12"/>
      <c r="C39" s="13"/>
      <c r="D39" s="13"/>
      <c r="E39" s="12"/>
      <c r="F39" s="12"/>
      <c r="G39" s="13"/>
      <c r="H39" s="13"/>
      <c r="I39" s="12"/>
      <c r="J39" s="12"/>
      <c r="K39" s="12"/>
      <c r="L39" s="12"/>
      <c r="M39" s="12"/>
      <c r="N39" s="12"/>
      <c r="O39" s="12"/>
      <c r="P39" s="12"/>
    </row>
    <row r="40" spans="1:16" ht="13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</row>
    <row r="41" spans="1:16" ht="13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</row>
    <row r="42" spans="1:16" ht="13">
      <c r="A42" s="12"/>
      <c r="B42" s="12"/>
      <c r="C42" s="12"/>
      <c r="D42" s="12"/>
      <c r="E42" s="12"/>
      <c r="F42" s="12"/>
      <c r="G42" s="12"/>
      <c r="H42" s="12"/>
      <c r="I42" s="12"/>
      <c r="J42" s="13"/>
      <c r="K42" s="13"/>
      <c r="L42" s="12"/>
      <c r="M42" s="12"/>
      <c r="N42" s="13"/>
      <c r="O42" s="13"/>
      <c r="P42" s="12"/>
    </row>
    <row r="43" spans="1:16" ht="13">
      <c r="A43" s="12"/>
      <c r="B43" s="12"/>
      <c r="C43" s="12"/>
      <c r="D43" s="12"/>
      <c r="E43" s="12"/>
      <c r="F43" s="12"/>
      <c r="G43" s="12"/>
      <c r="H43" s="12"/>
      <c r="I43" s="12"/>
      <c r="J43" s="13"/>
      <c r="K43" s="13"/>
      <c r="L43" s="12"/>
      <c r="M43" s="12"/>
      <c r="N43" s="13"/>
      <c r="O43" s="13"/>
      <c r="P43" s="12"/>
    </row>
    <row r="44" spans="1:16" ht="13">
      <c r="A44" s="12"/>
      <c r="B44" s="12"/>
      <c r="C44" s="12"/>
      <c r="D44" s="12"/>
      <c r="E44" s="12"/>
      <c r="F44" s="12"/>
      <c r="G44" s="12"/>
      <c r="H44" s="12"/>
      <c r="I44" s="12"/>
      <c r="J44" s="13"/>
      <c r="K44" s="13"/>
      <c r="L44" s="12"/>
      <c r="M44" s="12"/>
      <c r="N44" s="13"/>
      <c r="O44" s="13"/>
      <c r="P44" s="12"/>
    </row>
    <row r="45" spans="1:16" ht="13">
      <c r="A45" s="12"/>
      <c r="B45" s="12"/>
      <c r="C45" s="12"/>
      <c r="D45" s="12"/>
      <c r="E45" s="12"/>
      <c r="F45" s="12"/>
      <c r="G45" s="12"/>
      <c r="H45" s="12"/>
      <c r="I45" s="12"/>
      <c r="J45" s="13"/>
      <c r="K45" s="13"/>
      <c r="L45" s="12"/>
      <c r="M45" s="12"/>
      <c r="N45" s="13"/>
      <c r="O45" s="13"/>
      <c r="P45" s="12"/>
    </row>
    <row r="46" spans="1:16" ht="13">
      <c r="A46" s="12"/>
      <c r="B46" s="12"/>
      <c r="C46" s="12"/>
      <c r="D46" s="12"/>
      <c r="E46" s="12"/>
      <c r="F46" s="12"/>
      <c r="G46" s="12"/>
      <c r="H46" s="12"/>
      <c r="I46" s="12"/>
      <c r="J46" s="13"/>
      <c r="K46" s="13"/>
      <c r="L46" s="12"/>
      <c r="M46" s="12"/>
      <c r="N46" s="13"/>
      <c r="O46" s="13"/>
      <c r="P46" s="12"/>
    </row>
    <row r="47" spans="1:16" ht="13">
      <c r="A47" s="12"/>
      <c r="B47" s="12"/>
      <c r="C47" s="12"/>
      <c r="D47" s="12"/>
      <c r="E47" s="12"/>
      <c r="F47" s="12"/>
      <c r="G47" s="12"/>
      <c r="H47" s="12"/>
      <c r="I47" s="12"/>
      <c r="J47" s="13"/>
      <c r="K47" s="13"/>
      <c r="L47" s="12"/>
      <c r="M47" s="12"/>
      <c r="N47" s="13"/>
      <c r="O47" s="13"/>
      <c r="P47" s="12"/>
    </row>
    <row r="48" spans="1:16" ht="13">
      <c r="A48" s="12"/>
      <c r="B48" s="12"/>
      <c r="C48" s="12"/>
      <c r="D48" s="12"/>
      <c r="E48" s="12"/>
      <c r="F48" s="12"/>
      <c r="G48" s="12"/>
      <c r="H48" s="12"/>
      <c r="I48" s="12"/>
      <c r="J48" s="13"/>
      <c r="K48" s="13"/>
      <c r="L48" s="12"/>
      <c r="M48" s="12"/>
      <c r="N48" s="13"/>
      <c r="O48" s="13"/>
      <c r="P48" s="12"/>
    </row>
    <row r="49" spans="1:16" ht="13">
      <c r="A49" s="12"/>
      <c r="B49" s="12"/>
      <c r="C49" s="12"/>
      <c r="D49" s="12"/>
      <c r="E49" s="12"/>
      <c r="F49" s="12"/>
      <c r="G49" s="12"/>
      <c r="H49" s="12"/>
      <c r="I49" s="12"/>
      <c r="J49" s="13"/>
      <c r="K49" s="13"/>
      <c r="L49" s="12"/>
      <c r="M49" s="12"/>
      <c r="N49" s="13"/>
      <c r="O49" s="13"/>
      <c r="P49" s="12"/>
    </row>
    <row r="50" spans="1:16" ht="13">
      <c r="A50" s="12"/>
      <c r="B50" s="12"/>
      <c r="C50" s="12"/>
      <c r="D50" s="12"/>
      <c r="E50" s="12"/>
      <c r="F50" s="12"/>
      <c r="G50" s="12"/>
      <c r="H50" s="12"/>
      <c r="I50" s="12"/>
      <c r="J50" s="13"/>
      <c r="K50" s="13"/>
      <c r="L50" s="12"/>
      <c r="M50" s="12"/>
      <c r="N50" s="13"/>
      <c r="O50" s="13"/>
      <c r="P50" s="12"/>
    </row>
    <row r="51" spans="1:16" ht="13">
      <c r="A51" s="12"/>
      <c r="B51" s="12"/>
      <c r="C51" s="12"/>
      <c r="D51" s="12"/>
      <c r="E51" s="12"/>
      <c r="F51" s="12"/>
      <c r="G51" s="12"/>
      <c r="H51" s="12"/>
      <c r="I51" s="12"/>
      <c r="J51" s="13"/>
      <c r="K51" s="13"/>
      <c r="L51" s="12"/>
      <c r="M51" s="12"/>
      <c r="N51" s="13"/>
      <c r="O51" s="13"/>
      <c r="P51" s="12"/>
    </row>
    <row r="52" spans="1:16" ht="1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</sheetData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N13"/>
  <sheetViews>
    <sheetView workbookViewId="0">
      <selection activeCell="I5" sqref="I5"/>
    </sheetView>
  </sheetViews>
  <sheetFormatPr baseColWidth="10" defaultColWidth="12.6640625" defaultRowHeight="15.75" customHeight="1"/>
  <cols>
    <col min="11" max="11" width="9.1640625" customWidth="1"/>
    <col min="12" max="12" width="13.6640625" customWidth="1"/>
    <col min="14" max="14" width="30.5" customWidth="1"/>
  </cols>
  <sheetData>
    <row r="1" spans="1:14" ht="15.75" customHeight="1">
      <c r="A1" s="14" t="s">
        <v>73</v>
      </c>
      <c r="B1" s="14" t="s">
        <v>74</v>
      </c>
      <c r="C1" s="14" t="s">
        <v>75</v>
      </c>
      <c r="D1" s="14" t="s">
        <v>76</v>
      </c>
      <c r="E1" s="14" t="s">
        <v>77</v>
      </c>
      <c r="F1" s="14" t="s">
        <v>78</v>
      </c>
      <c r="G1" s="14" t="s">
        <v>79</v>
      </c>
      <c r="H1" s="14" t="s">
        <v>80</v>
      </c>
      <c r="I1" s="14" t="s">
        <v>81</v>
      </c>
      <c r="K1" s="15" t="s">
        <v>82</v>
      </c>
      <c r="L1" s="15" t="s">
        <v>83</v>
      </c>
      <c r="M1" s="15" t="s">
        <v>84</v>
      </c>
      <c r="N1" s="15" t="s">
        <v>85</v>
      </c>
    </row>
    <row r="2" spans="1:14" ht="15.75" customHeight="1">
      <c r="A2" s="16" t="str">
        <f>설정!C2</f>
        <v>정종훈</v>
      </c>
      <c r="B2" s="1">
        <f>SUMPRODUCT((대진표!$C$2:$C$19=$A2)*(대진표!$E$2:$E$19&gt;대진표!$F$2:$F$19))+SUMPRODUCT((대진표!$D$2:$D$19=$A2)*(대진표!$E$2:$E$19&gt;대진표!$F$2:$F$19))+SUMPRODUCT((대진표!$G$2:$G$19=$A2)*(대진표!$F$2:$F$19&gt;대진표!$E$2:$E$19))+SUMPRODUCT((대진표!$H$2:$H$19=$A2)*(대진표!$F$2:$F$19&gt;대진표!$E$2:$E$19))</f>
        <v>3</v>
      </c>
      <c r="C2" s="1">
        <f>(SUMIF(대진표!$C:$C,$A2,대진표!$E:$E)+SUMIF(대진표!$D:$D,$A2,대진표!$E:$E)+SUMIF(대진표!$G:$G,$A2,대진표!$F:$F)+SUMIF(대진표!$H:$H,$A2,대진표!$F:$F))-(SUMIF(대진표!$C:$C,$A2,대진표!$F:$F)+SUMIF(대진표!$D:$D,$A2,대진표!$F:$F)+SUMIF(대진표!$G:$G,$A2,대진표!$E:$E)+SUMIF(대진표!$H:$H,$A2,대진표!$E:$E))</f>
        <v>-3</v>
      </c>
      <c r="D2" s="1">
        <f>(B2*100)+(F2*10)+(C2*1)+(IF(LEFT(설정!$B2,1)="W",30,0))+(SUMPRODUCT((대진표!$C$2:$C$19=$A2)*ISNUMBER(MATCH(대진표!$D$2:$D$19,설정!$C$10:$C$13,0))*(대진표!$E$2:$E$19&gt;대진표!$F$2:$F$19))+SUMPRODUCT((대진표!$D$2:$D$19=$A2)*ISNUMBER(MATCH(대진표!$C$2:$C$19,설정!$C$10:$C$13,0))*(대진표!$E$2:$E$19&gt;대진표!$F$2:$F$19))+SUMPRODUCT((대진표!$G$2:$G$19=$A2)*ISNUMBER(MATCH(대진표!$H$2:$H$19,설정!$C$10:$C$13,0))*(대진표!$F$2:$F$19&gt;대진표!$E$2:$E$19))+SUMPRODUCT((대진표!$H$2:$H$19=$A2)*ISNUMBER(MATCH(대진표!$G$2:$G$19,설정!$C$10:$C$13,0))*(대진표!$F$2:$F$19&gt;대진표!$E$2:$E$19)))*5</f>
        <v>357</v>
      </c>
      <c r="E2" s="1">
        <f t="shared" ref="E2:E13" si="0">_xlfn.RANK.EQ(D2, $D$2:$D$13)</f>
        <v>6</v>
      </c>
      <c r="F2" s="1">
        <f>COUNTIFS(대진표!$C:$C,$A2,대진표!$E:$E,"&lt;&gt;-")+COUNTIFS(대진표!$D:$D,$A2,대진표!$E:$E,"&lt;&gt;-")+COUNTIFS(대진표!$G:$G,$A2,대진표!$F:$F,"&lt;&gt;-")+COUNTIFS(대진표!$H:$H,$A2,대진표!$F:$F,"&lt;&gt;-")</f>
        <v>6</v>
      </c>
      <c r="G2" s="1">
        <v>80</v>
      </c>
      <c r="H2" s="1">
        <f t="shared" ref="H2:H13" si="1">D2+G2</f>
        <v>437</v>
      </c>
      <c r="I2" s="1">
        <f t="shared" ref="I2:I13" si="2">_xlfn.RANK.EQ(H2, $H$2:$H$13)</f>
        <v>5</v>
      </c>
      <c r="K2" s="17" t="s">
        <v>86</v>
      </c>
      <c r="L2" s="18" t="s">
        <v>87</v>
      </c>
      <c r="M2" s="19" t="s">
        <v>88</v>
      </c>
      <c r="N2" s="20" t="s">
        <v>89</v>
      </c>
    </row>
    <row r="3" spans="1:14" ht="15.75" customHeight="1">
      <c r="A3" s="16" t="str">
        <f>설정!C3</f>
        <v>황정원</v>
      </c>
      <c r="B3" s="1">
        <f>SUMPRODUCT((대진표!$C$2:$C$19=$A3)*(대진표!$E$2:$E$19&gt;대진표!$F$2:$F$19))+SUMPRODUCT((대진표!$D$2:$D$19=$A3)*(대진표!$E$2:$E$19&gt;대진표!$F$2:$F$19))+SUMPRODUCT((대진표!$G$2:$G$19=$A3)*(대진표!$F$2:$F$19&gt;대진표!$E$2:$E$19))+SUMPRODUCT((대진표!$H$2:$H$19=$A3)*(대진표!$F$2:$F$19&gt;대진표!$E$2:$E$19))</f>
        <v>4</v>
      </c>
      <c r="C3" s="1">
        <f>(SUMIF(대진표!$C:$C,$A3,대진표!$E:$E)+SUMIF(대진표!$D:$D,$A3,대진표!$E:$E)+SUMIF(대진표!$G:$G,$A3,대진표!$F:$F)+SUMIF(대진표!$H:$H,$A3,대진표!$F:$F))-(SUMIF(대진표!$C:$C,$A3,대진표!$F:$F)+SUMIF(대진표!$D:$D,$A3,대진표!$F:$F)+SUMIF(대진표!$G:$G,$A3,대진표!$E:$E)+SUMIF(대진표!$H:$H,$A3,대진표!$E:$E))</f>
        <v>7</v>
      </c>
      <c r="D3" s="1">
        <f>(B3*100)+(F3*10)+(C3*1)+(IF(LEFT(설정!$B3,1)="W",30,0))+(SUMPRODUCT((대진표!$C$2:$C$19=$A3)*ISNUMBER(MATCH(대진표!$D$2:$D$19,설정!$C$10:$C$13,0))*(대진표!$E$2:$E$19&gt;대진표!$F$2:$F$19))+SUMPRODUCT((대진표!$D$2:$D$19=$A3)*ISNUMBER(MATCH(대진표!$C$2:$C$19,설정!$C$10:$C$13,0))*(대진표!$E$2:$E$19&gt;대진표!$F$2:$F$19))+SUMPRODUCT((대진표!$G$2:$G$19=$A3)*ISNUMBER(MATCH(대진표!$H$2:$H$19,설정!$C$10:$C$13,0))*(대진표!$F$2:$F$19&gt;대진표!$E$2:$E$19))+SUMPRODUCT((대진표!$H$2:$H$19=$A3)*ISNUMBER(MATCH(대진표!$G$2:$G$19,설정!$C$10:$C$13,0))*(대진표!$F$2:$F$19&gt;대진표!$E$2:$E$19)))*5</f>
        <v>472</v>
      </c>
      <c r="E3" s="1">
        <f t="shared" si="0"/>
        <v>4</v>
      </c>
      <c r="F3" s="1">
        <f>COUNTIFS(대진표!$C:$C,$A3,대진표!$E:$E,"&lt;&gt;-")+COUNTIFS(대진표!$D:$D,$A3,대진표!$E:$E,"&lt;&gt;-")+COUNTIFS(대진표!$G:$G,$A3,대진표!$F:$F,"&lt;&gt;-")+COUNTIFS(대진표!$H:$H,$A3,대진표!$F:$F,"&lt;&gt;-")</f>
        <v>6</v>
      </c>
      <c r="G3" s="1">
        <v>80</v>
      </c>
      <c r="H3" s="1">
        <f t="shared" si="1"/>
        <v>552</v>
      </c>
      <c r="I3" s="1">
        <f t="shared" si="2"/>
        <v>4</v>
      </c>
      <c r="K3" s="21"/>
      <c r="L3" s="18" t="s">
        <v>90</v>
      </c>
      <c r="M3" s="19" t="s">
        <v>91</v>
      </c>
      <c r="N3" s="20" t="s">
        <v>92</v>
      </c>
    </row>
    <row r="4" spans="1:14" ht="15.75" customHeight="1">
      <c r="A4" s="16" t="str">
        <f>설정!C4</f>
        <v>김정준</v>
      </c>
      <c r="B4" s="1">
        <f>SUMPRODUCT((대진표!$C$2:$C$19=$A4)*(대진표!$E$2:$E$19&gt;대진표!$F$2:$F$19))+SUMPRODUCT((대진표!$D$2:$D$19=$A4)*(대진표!$E$2:$E$19&gt;대진표!$F$2:$F$19))+SUMPRODUCT((대진표!$G$2:$G$19=$A4)*(대진표!$F$2:$F$19&gt;대진표!$E$2:$E$19))+SUMPRODUCT((대진표!$H$2:$H$19=$A4)*(대진표!$F$2:$F$19&gt;대진표!$E$2:$E$19))</f>
        <v>5</v>
      </c>
      <c r="C4" s="1">
        <f>(SUMIF(대진표!$C:$C,$A4,대진표!$E:$E)+SUMIF(대진표!$D:$D,$A4,대진표!$E:$E)+SUMIF(대진표!$G:$G,$A4,대진표!$F:$F)+SUMIF(대진표!$H:$H,$A4,대진표!$F:$F))-(SUMIF(대진표!$C:$C,$A4,대진표!$F:$F)+SUMIF(대진표!$D:$D,$A4,대진표!$F:$F)+SUMIF(대진표!$G:$G,$A4,대진표!$E:$E)+SUMIF(대진표!$H:$H,$A4,대진표!$E:$E))</f>
        <v>10</v>
      </c>
      <c r="D4" s="1">
        <f>(B4*100)+(F4*10)+(C4*1)+(IF(LEFT(설정!$B4,1)="W",30,0))+(SUMPRODUCT((대진표!$C$2:$C$19=$A4)*ISNUMBER(MATCH(대진표!$D$2:$D$19,설정!$C$10:$C$13,0))*(대진표!$E$2:$E$19&gt;대진표!$F$2:$F$19))+SUMPRODUCT((대진표!$D$2:$D$19=$A4)*ISNUMBER(MATCH(대진표!$C$2:$C$19,설정!$C$10:$C$13,0))*(대진표!$E$2:$E$19&gt;대진표!$F$2:$F$19))+SUMPRODUCT((대진표!$G$2:$G$19=$A4)*ISNUMBER(MATCH(대진표!$H$2:$H$19,설정!$C$10:$C$13,0))*(대진표!$F$2:$F$19&gt;대진표!$E$2:$E$19))+SUMPRODUCT((대진표!$H$2:$H$19=$A4)*ISNUMBER(MATCH(대진표!$G$2:$G$19,설정!$C$10:$C$13,0))*(대진표!$F$2:$F$19&gt;대진표!$E$2:$E$19)))*5</f>
        <v>580</v>
      </c>
      <c r="E4" s="1">
        <f t="shared" si="0"/>
        <v>1</v>
      </c>
      <c r="F4" s="1">
        <f>COUNTIFS(대진표!$C:$C,$A4,대진표!$E:$E,"&lt;&gt;-")+COUNTIFS(대진표!$D:$D,$A4,대진표!$E:$E,"&lt;&gt;-")+COUNTIFS(대진표!$G:$G,$A4,대진표!$F:$F,"&lt;&gt;-")+COUNTIFS(대진표!$H:$H,$A4,대진표!$F:$F,"&lt;&gt;-")</f>
        <v>6</v>
      </c>
      <c r="G4" s="1">
        <v>40</v>
      </c>
      <c r="H4" s="1">
        <f t="shared" si="1"/>
        <v>620</v>
      </c>
      <c r="I4" s="1">
        <f t="shared" si="2"/>
        <v>3</v>
      </c>
      <c r="K4" s="22"/>
      <c r="L4" s="18" t="s">
        <v>93</v>
      </c>
      <c r="M4" s="19" t="s">
        <v>94</v>
      </c>
      <c r="N4" s="20" t="s">
        <v>95</v>
      </c>
    </row>
    <row r="5" spans="1:14" ht="15.75" customHeight="1">
      <c r="A5" s="16" t="str">
        <f>설정!C5</f>
        <v>박종춘</v>
      </c>
      <c r="B5" s="1">
        <f>SUMPRODUCT((대진표!$C$2:$C$19=$A5)*(대진표!$E$2:$E$19&gt;대진표!$F$2:$F$19))+SUMPRODUCT((대진표!$D$2:$D$19=$A5)*(대진표!$E$2:$E$19&gt;대진표!$F$2:$F$19))+SUMPRODUCT((대진표!$G$2:$G$19=$A5)*(대진표!$F$2:$F$19&gt;대진표!$E$2:$E$19))+SUMPRODUCT((대진표!$H$2:$H$19=$A5)*(대진표!$F$2:$F$19&gt;대진표!$E$2:$E$19))</f>
        <v>0</v>
      </c>
      <c r="C5" s="1">
        <f>(SUMIF(대진표!$C:$C,$A5,대진표!$E:$E)+SUMIF(대진표!$D:$D,$A5,대진표!$E:$E)+SUMIF(대진표!$G:$G,$A5,대진표!$F:$F)+SUMIF(대진표!$H:$H,$A5,대진표!$F:$F))-(SUMIF(대진표!$C:$C,$A5,대진표!$F:$F)+SUMIF(대진표!$D:$D,$A5,대진표!$F:$F)+SUMIF(대진표!$G:$G,$A5,대진표!$E:$E)+SUMIF(대진표!$H:$H,$A5,대진표!$E:$E))</f>
        <v>-14</v>
      </c>
      <c r="D5" s="1">
        <f>(B5*100)+(F5*10)+(C5*1)+(IF(LEFT(설정!$B5,1)="W",30,0))+(SUMPRODUCT((대진표!$C$2:$C$19=$A5)*ISNUMBER(MATCH(대진표!$D$2:$D$19,설정!$C$10:$C$13,0))*(대진표!$E$2:$E$19&gt;대진표!$F$2:$F$19))+SUMPRODUCT((대진표!$D$2:$D$19=$A5)*ISNUMBER(MATCH(대진표!$C$2:$C$19,설정!$C$10:$C$13,0))*(대진표!$E$2:$E$19&gt;대진표!$F$2:$F$19))+SUMPRODUCT((대진표!$G$2:$G$19=$A5)*ISNUMBER(MATCH(대진표!$H$2:$H$19,설정!$C$10:$C$13,0))*(대진표!$F$2:$F$19&gt;대진표!$E$2:$E$19))+SUMPRODUCT((대진표!$H$2:$H$19=$A5)*ISNUMBER(MATCH(대진표!$G$2:$G$19,설정!$C$10:$C$13,0))*(대진표!$F$2:$F$19&gt;대진표!$E$2:$E$19)))*5</f>
        <v>46</v>
      </c>
      <c r="E5" s="1">
        <f t="shared" si="0"/>
        <v>12</v>
      </c>
      <c r="F5" s="1">
        <f>COUNTIFS(대진표!$C:$C,$A5,대진표!$E:$E,"&lt;&gt;-")+COUNTIFS(대진표!$D:$D,$A5,대진표!$E:$E,"&lt;&gt;-")+COUNTIFS(대진표!$G:$G,$A5,대진표!$F:$F,"&lt;&gt;-")+COUNTIFS(대진표!$H:$H,$A5,대진표!$F:$F,"&lt;&gt;-")</f>
        <v>6</v>
      </c>
      <c r="G5" s="1">
        <v>80</v>
      </c>
      <c r="H5" s="1">
        <f t="shared" si="1"/>
        <v>126</v>
      </c>
      <c r="I5" s="1">
        <f t="shared" si="2"/>
        <v>12</v>
      </c>
      <c r="K5" s="17" t="s">
        <v>96</v>
      </c>
      <c r="L5" s="18" t="s">
        <v>97</v>
      </c>
      <c r="M5" s="19" t="s">
        <v>98</v>
      </c>
      <c r="N5" s="20" t="s">
        <v>99</v>
      </c>
    </row>
    <row r="6" spans="1:14" ht="15.75" customHeight="1">
      <c r="A6" s="16" t="str">
        <f>설정!C6</f>
        <v>황진수</v>
      </c>
      <c r="B6" s="1">
        <f>SUMPRODUCT((대진표!$C$2:$C$19=$A6)*(대진표!$E$2:$E$19&gt;대진표!$F$2:$F$19))+SUMPRODUCT((대진표!$D$2:$D$19=$A6)*(대진표!$E$2:$E$19&gt;대진표!$F$2:$F$19))+SUMPRODUCT((대진표!$G$2:$G$19=$A6)*(대진표!$F$2:$F$19&gt;대진표!$E$2:$E$19))+SUMPRODUCT((대진표!$H$2:$H$19=$A6)*(대진표!$F$2:$F$19&gt;대진표!$E$2:$E$19))</f>
        <v>5</v>
      </c>
      <c r="C6" s="1">
        <f>(SUMIF(대진표!$C:$C,$A6,대진표!$E:$E)+SUMIF(대진표!$D:$D,$A6,대진표!$E:$E)+SUMIF(대진표!$G:$G,$A6,대진표!$F:$F)+SUMIF(대진표!$H:$H,$A6,대진표!$F:$F))-(SUMIF(대진표!$C:$C,$A6,대진표!$F:$F)+SUMIF(대진표!$D:$D,$A6,대진표!$F:$F)+SUMIF(대진표!$G:$G,$A6,대진표!$E:$E)+SUMIF(대진표!$H:$H,$A6,대진표!$E:$E))</f>
        <v>11</v>
      </c>
      <c r="D6" s="1">
        <f>(B6*100)+(F6*10)+(C6*1)+(IF(LEFT(설정!$B6,1)="W",30,0))+(SUMPRODUCT((대진표!$C$2:$C$19=$A6)*ISNUMBER(MATCH(대진표!$D$2:$D$19,설정!$C$10:$C$13,0))*(대진표!$E$2:$E$19&gt;대진표!$F$2:$F$19))+SUMPRODUCT((대진표!$D$2:$D$19=$A6)*ISNUMBER(MATCH(대진표!$C$2:$C$19,설정!$C$10:$C$13,0))*(대진표!$E$2:$E$19&gt;대진표!$F$2:$F$19))+SUMPRODUCT((대진표!$G$2:$G$19=$A6)*ISNUMBER(MATCH(대진표!$H$2:$H$19,설정!$C$10:$C$13,0))*(대진표!$F$2:$F$19&gt;대진표!$E$2:$E$19))+SUMPRODUCT((대진표!$H$2:$H$19=$A6)*ISNUMBER(MATCH(대진표!$G$2:$G$19,설정!$C$10:$C$13,0))*(대진표!$F$2:$F$19&gt;대진표!$E$2:$E$19)))*5</f>
        <v>576</v>
      </c>
      <c r="E6" s="1">
        <f t="shared" si="0"/>
        <v>3</v>
      </c>
      <c r="F6" s="1">
        <f>COUNTIFS(대진표!$C:$C,$A6,대진표!$E:$E,"&lt;&gt;-")+COUNTIFS(대진표!$D:$D,$A6,대진표!$E:$E,"&lt;&gt;-")+COUNTIFS(대진표!$G:$G,$A6,대진표!$F:$F,"&lt;&gt;-")+COUNTIFS(대진표!$H:$H,$A6,대진표!$F:$F,"&lt;&gt;-")</f>
        <v>6</v>
      </c>
      <c r="G6" s="1">
        <v>80</v>
      </c>
      <c r="H6" s="1">
        <f t="shared" si="1"/>
        <v>656</v>
      </c>
      <c r="I6" s="1">
        <f t="shared" si="2"/>
        <v>2</v>
      </c>
      <c r="K6" s="22"/>
      <c r="L6" s="18" t="s">
        <v>100</v>
      </c>
      <c r="M6" s="19" t="s">
        <v>101</v>
      </c>
      <c r="N6" s="20" t="s">
        <v>102</v>
      </c>
    </row>
    <row r="7" spans="1:14" ht="15.75" customHeight="1">
      <c r="A7" s="16" t="str">
        <f>설정!C7</f>
        <v>김진찬</v>
      </c>
      <c r="B7" s="1">
        <f>SUMPRODUCT((대진표!$C$2:$C$19=$A7)*(대진표!$E$2:$E$19&gt;대진표!$F$2:$F$19))+SUMPRODUCT((대진표!$D$2:$D$19=$A7)*(대진표!$E$2:$E$19&gt;대진표!$F$2:$F$19))+SUMPRODUCT((대진표!$G$2:$G$19=$A7)*(대진표!$F$2:$F$19&gt;대진표!$E$2:$E$19))+SUMPRODUCT((대진표!$H$2:$H$19=$A7)*(대진표!$F$2:$F$19&gt;대진표!$E$2:$E$19))</f>
        <v>2</v>
      </c>
      <c r="C7" s="1">
        <f>(SUMIF(대진표!$C:$C,$A7,대진표!$E:$E)+SUMIF(대진표!$D:$D,$A7,대진표!$E:$E)+SUMIF(대진표!$G:$G,$A7,대진표!$F:$F)+SUMIF(대진표!$H:$H,$A7,대진표!$F:$F))-(SUMIF(대진표!$C:$C,$A7,대진표!$F:$F)+SUMIF(대진표!$D:$D,$A7,대진표!$F:$F)+SUMIF(대진표!$G:$G,$A7,대진표!$E:$E)+SUMIF(대진표!$H:$H,$A7,대진표!$E:$E))</f>
        <v>-7</v>
      </c>
      <c r="D7" s="1">
        <f>(B7*100)+(F7*10)+(C7*1)+(IF(LEFT(설정!$B7,1)="W",30,0))+(SUMPRODUCT((대진표!$C$2:$C$19=$A7)*ISNUMBER(MATCH(대진표!$D$2:$D$19,설정!$C$10:$C$13,0))*(대진표!$E$2:$E$19&gt;대진표!$F$2:$F$19))+SUMPRODUCT((대진표!$D$2:$D$19=$A7)*ISNUMBER(MATCH(대진표!$C$2:$C$19,설정!$C$10:$C$13,0))*(대진표!$E$2:$E$19&gt;대진표!$F$2:$F$19))+SUMPRODUCT((대진표!$G$2:$G$19=$A7)*ISNUMBER(MATCH(대진표!$H$2:$H$19,설정!$C$10:$C$13,0))*(대진표!$F$2:$F$19&gt;대진표!$E$2:$E$19))+SUMPRODUCT((대진표!$H$2:$H$19=$A7)*ISNUMBER(MATCH(대진표!$G$2:$G$19,설정!$C$10:$C$13,0))*(대진표!$F$2:$F$19&gt;대진표!$E$2:$E$19)))*5</f>
        <v>258</v>
      </c>
      <c r="E7" s="1">
        <f t="shared" si="0"/>
        <v>10</v>
      </c>
      <c r="F7" s="1">
        <f>COUNTIFS(대진표!$C:$C,$A7,대진표!$E:$E,"&lt;&gt;-")+COUNTIFS(대진표!$D:$D,$A7,대진표!$E:$E,"&lt;&gt;-")+COUNTIFS(대진표!$G:$G,$A7,대진표!$F:$F,"&lt;&gt;-")+COUNTIFS(대진표!$H:$H,$A7,대진표!$F:$F,"&lt;&gt;-")</f>
        <v>6</v>
      </c>
      <c r="G7" s="1">
        <v>40</v>
      </c>
      <c r="H7" s="1">
        <f t="shared" si="1"/>
        <v>298</v>
      </c>
      <c r="I7" s="1">
        <f t="shared" si="2"/>
        <v>10</v>
      </c>
      <c r="K7" s="17" t="s">
        <v>103</v>
      </c>
      <c r="L7" s="18" t="s">
        <v>104</v>
      </c>
      <c r="M7" s="19" t="s">
        <v>105</v>
      </c>
      <c r="N7" s="20" t="s">
        <v>106</v>
      </c>
    </row>
    <row r="8" spans="1:14" ht="15.75" customHeight="1">
      <c r="A8" s="16" t="str">
        <f>설정!C8</f>
        <v>황경호</v>
      </c>
      <c r="B8" s="1">
        <f>SUMPRODUCT((대진표!$C$2:$C$19=$A8)*(대진표!$E$2:$E$19&gt;대진표!$F$2:$F$19))+SUMPRODUCT((대진표!$D$2:$D$19=$A8)*(대진표!$E$2:$E$19&gt;대진표!$F$2:$F$19))+SUMPRODUCT((대진표!$G$2:$G$19=$A8)*(대진표!$F$2:$F$19&gt;대진표!$E$2:$E$19))+SUMPRODUCT((대진표!$H$2:$H$19=$A8)*(대진표!$F$2:$F$19&gt;대진표!$E$2:$E$19))</f>
        <v>3</v>
      </c>
      <c r="C8" s="1">
        <f>(SUMIF(대진표!$C:$C,$A8,대진표!$E:$E)+SUMIF(대진표!$D:$D,$A8,대진표!$E:$E)+SUMIF(대진표!$G:$G,$A8,대진표!$F:$F)+SUMIF(대진표!$H:$H,$A8,대진표!$F:$F))-(SUMIF(대진표!$C:$C,$A8,대진표!$F:$F)+SUMIF(대진표!$D:$D,$A8,대진표!$F:$F)+SUMIF(대진표!$G:$G,$A8,대진표!$E:$E)+SUMIF(대진표!$H:$H,$A8,대진표!$E:$E))</f>
        <v>2</v>
      </c>
      <c r="D8" s="1">
        <f>(B8*100)+(F8*10)+(C8*1)+(IF(LEFT(설정!$B8,1)="W",30,0))+(SUMPRODUCT((대진표!$C$2:$C$19=$A8)*ISNUMBER(MATCH(대진표!$D$2:$D$19,설정!$C$10:$C$13,0))*(대진표!$E$2:$E$19&gt;대진표!$F$2:$F$19))+SUMPRODUCT((대진표!$D$2:$D$19=$A8)*ISNUMBER(MATCH(대진표!$C$2:$C$19,설정!$C$10:$C$13,0))*(대진표!$E$2:$E$19&gt;대진표!$F$2:$F$19))+SUMPRODUCT((대진표!$G$2:$G$19=$A8)*ISNUMBER(MATCH(대진표!$H$2:$H$19,설정!$C$10:$C$13,0))*(대진표!$F$2:$F$19&gt;대진표!$E$2:$E$19))+SUMPRODUCT((대진표!$H$2:$H$19=$A8)*ISNUMBER(MATCH(대진표!$G$2:$G$19,설정!$C$10:$C$13,0))*(대진표!$F$2:$F$19&gt;대진표!$E$2:$E$19)))*5</f>
        <v>362</v>
      </c>
      <c r="E8" s="1">
        <f t="shared" si="0"/>
        <v>5</v>
      </c>
      <c r="F8" s="1">
        <f>COUNTIFS(대진표!$C:$C,$A8,대진표!$E:$E,"&lt;&gt;-")+COUNTIFS(대진표!$D:$D,$A8,대진표!$E:$E,"&lt;&gt;-")+COUNTIFS(대진표!$G:$G,$A8,대진표!$F:$F,"&lt;&gt;-")+COUNTIFS(대진표!$H:$H,$A8,대진표!$F:$F,"&lt;&gt;-")</f>
        <v>6</v>
      </c>
      <c r="G8" s="1">
        <v>40</v>
      </c>
      <c r="H8" s="1">
        <f t="shared" si="1"/>
        <v>402</v>
      </c>
      <c r="I8" s="1">
        <f t="shared" si="2"/>
        <v>6</v>
      </c>
      <c r="K8" s="22"/>
      <c r="L8" s="18" t="s">
        <v>107</v>
      </c>
      <c r="M8" s="19" t="s">
        <v>108</v>
      </c>
      <c r="N8" s="20" t="s">
        <v>109</v>
      </c>
    </row>
    <row r="9" spans="1:14" ht="15.75" customHeight="1">
      <c r="A9" s="16" t="str">
        <f>설정!C9</f>
        <v>신동준</v>
      </c>
      <c r="B9" s="1">
        <f>SUMPRODUCT((대진표!$C$2:$C$19=$A9)*(대진표!$E$2:$E$19&gt;대진표!$F$2:$F$19))+SUMPRODUCT((대진표!$D$2:$D$19=$A9)*(대진표!$E$2:$E$19&gt;대진표!$F$2:$F$19))+SUMPRODUCT((대진표!$G$2:$G$19=$A9)*(대진표!$F$2:$F$19&gt;대진표!$E$2:$E$19))+SUMPRODUCT((대진표!$H$2:$H$19=$A9)*(대진표!$F$2:$F$19&gt;대진표!$E$2:$E$19))</f>
        <v>2</v>
      </c>
      <c r="C9" s="1">
        <f>(SUMIF(대진표!$C:$C,$A9,대진표!$E:$E)+SUMIF(대진표!$D:$D,$A9,대진표!$E:$E)+SUMIF(대진표!$G:$G,$A9,대진표!$F:$F)+SUMIF(대진표!$H:$H,$A9,대진표!$F:$F))-(SUMIF(대진표!$C:$C,$A9,대진표!$F:$F)+SUMIF(대진표!$D:$D,$A9,대진표!$F:$F)+SUMIF(대진표!$G:$G,$A9,대진표!$E:$E)+SUMIF(대진표!$H:$H,$A9,대진표!$E:$E))</f>
        <v>-6</v>
      </c>
      <c r="D9" s="1">
        <f>(B9*100)+(F9*10)+(C9*1)+(IF(LEFT(설정!$B9,1)="W",30,0))+(SUMPRODUCT((대진표!$C$2:$C$19=$A9)*ISNUMBER(MATCH(대진표!$D$2:$D$19,설정!$C$10:$C$13,0))*(대진표!$E$2:$E$19&gt;대진표!$F$2:$F$19))+SUMPRODUCT((대진표!$D$2:$D$19=$A9)*ISNUMBER(MATCH(대진표!$C$2:$C$19,설정!$C$10:$C$13,0))*(대진표!$E$2:$E$19&gt;대진표!$F$2:$F$19))+SUMPRODUCT((대진표!$G$2:$G$19=$A9)*ISNUMBER(MATCH(대진표!$H$2:$H$19,설정!$C$10:$C$13,0))*(대진표!$F$2:$F$19&gt;대진표!$E$2:$E$19))+SUMPRODUCT((대진표!$H$2:$H$19=$A9)*ISNUMBER(MATCH(대진표!$G$2:$G$19,설정!$C$10:$C$13,0))*(대진표!$F$2:$F$19&gt;대진표!$E$2:$E$19)))*5</f>
        <v>259</v>
      </c>
      <c r="E9" s="1">
        <f t="shared" si="0"/>
        <v>9</v>
      </c>
      <c r="F9" s="1">
        <f>COUNTIFS(대진표!$C:$C,$A9,대진표!$E:$E,"&lt;&gt;-")+COUNTIFS(대진표!$D:$D,$A9,대진표!$E:$E,"&lt;&gt;-")+COUNTIFS(대진표!$G:$G,$A9,대진표!$F:$F,"&lt;&gt;-")+COUNTIFS(대진표!$H:$H,$A9,대진표!$F:$F,"&lt;&gt;-")</f>
        <v>6</v>
      </c>
      <c r="G9" s="1">
        <v>40</v>
      </c>
      <c r="H9" s="1">
        <f t="shared" si="1"/>
        <v>299</v>
      </c>
      <c r="I9" s="1">
        <f t="shared" si="2"/>
        <v>9</v>
      </c>
    </row>
    <row r="10" spans="1:14" ht="15.75" customHeight="1">
      <c r="A10" s="16" t="str">
        <f>설정!C10</f>
        <v>고아라</v>
      </c>
      <c r="B10" s="1">
        <f>SUMPRODUCT((대진표!$C$2:$C$19=$A10)*(대진표!$E$2:$E$19&gt;대진표!$F$2:$F$19))+SUMPRODUCT((대진표!$D$2:$D$19=$A10)*(대진표!$E$2:$E$19&gt;대진표!$F$2:$F$19))+SUMPRODUCT((대진표!$G$2:$G$19=$A10)*(대진표!$F$2:$F$19&gt;대진표!$E$2:$E$19))+SUMPRODUCT((대진표!$H$2:$H$19=$A10)*(대진표!$F$2:$F$19&gt;대진표!$E$2:$E$19))</f>
        <v>5</v>
      </c>
      <c r="C10" s="1">
        <f>(SUMIF(대진표!$C:$C,$A10,대진표!$E:$E)+SUMIF(대진표!$D:$D,$A10,대진표!$E:$E)+SUMIF(대진표!$G:$G,$A10,대진표!$F:$F)+SUMIF(대진표!$H:$H,$A10,대진표!$F:$F))-(SUMIF(대진표!$C:$C,$A10,대진표!$F:$F)+SUMIF(대진표!$D:$D,$A10,대진표!$F:$F)+SUMIF(대진표!$G:$G,$A10,대진표!$E:$E)+SUMIF(대진표!$H:$H,$A10,대진표!$E:$E))</f>
        <v>9</v>
      </c>
      <c r="D10" s="1">
        <f>(B10*100)+(F10*10)+(C10*1)+(IF(LEFT(설정!$B10,1)="W",30,0))+(SUMPRODUCT((대진표!$C$2:$C$19=$A10)*ISNUMBER(MATCH(대진표!$D$2:$D$19,설정!$C$10:$C$13,0))*(대진표!$E$2:$E$19&gt;대진표!$F$2:$F$19))+SUMPRODUCT((대진표!$D$2:$D$19=$A10)*ISNUMBER(MATCH(대진표!$C$2:$C$19,설정!$C$10:$C$13,0))*(대진표!$E$2:$E$19&gt;대진표!$F$2:$F$19))+SUMPRODUCT((대진표!$G$2:$G$19=$A10)*ISNUMBER(MATCH(대진표!$H$2:$H$19,설정!$C$10:$C$13,0))*(대진표!$F$2:$F$19&gt;대진표!$E$2:$E$19))+SUMPRODUCT((대진표!$H$2:$H$19=$A10)*ISNUMBER(MATCH(대진표!$G$2:$G$19,설정!$C$10:$C$13,0))*(대진표!$F$2:$F$19&gt;대진표!$E$2:$E$19)))*5</f>
        <v>579</v>
      </c>
      <c r="E10" s="1">
        <f t="shared" si="0"/>
        <v>2</v>
      </c>
      <c r="F10" s="1">
        <f>COUNTIFS(대진표!$C:$C,$A10,대진표!$E:$E,"&lt;&gt;-")+COUNTIFS(대진표!$D:$D,$A10,대진표!$E:$E,"&lt;&gt;-")+COUNTIFS(대진표!$G:$G,$A10,대진표!$F:$F,"&lt;&gt;-")+COUNTIFS(대진표!$H:$H,$A10,대진표!$F:$F,"&lt;&gt;-")</f>
        <v>6</v>
      </c>
      <c r="G10" s="1">
        <v>80</v>
      </c>
      <c r="H10" s="1">
        <f t="shared" si="1"/>
        <v>659</v>
      </c>
      <c r="I10" s="1">
        <f t="shared" si="2"/>
        <v>1</v>
      </c>
    </row>
    <row r="11" spans="1:14" ht="15.75" customHeight="1">
      <c r="A11" s="16" t="str">
        <f>설정!C11</f>
        <v>정채원</v>
      </c>
      <c r="B11" s="1">
        <f>SUMPRODUCT((대진표!$C$2:$C$19=$A11)*(대진표!$E$2:$E$19&gt;대진표!$F$2:$F$19))+SUMPRODUCT((대진표!$D$2:$D$19=$A11)*(대진표!$E$2:$E$19&gt;대진표!$F$2:$F$19))+SUMPRODUCT((대진표!$G$2:$G$19=$A11)*(대진표!$F$2:$F$19&gt;대진표!$E$2:$E$19))+SUMPRODUCT((대진표!$H$2:$H$19=$A11)*(대진표!$F$2:$F$19&gt;대진표!$E$2:$E$19))</f>
        <v>1</v>
      </c>
      <c r="C11" s="1">
        <f>(SUMIF(대진표!$C:$C,$A11,대진표!$E:$E)+SUMIF(대진표!$D:$D,$A11,대진표!$E:$E)+SUMIF(대진표!$G:$G,$A11,대진표!$F:$F)+SUMIF(대진표!$H:$H,$A11,대진표!$F:$F))-(SUMIF(대진표!$C:$C,$A11,대진표!$F:$F)+SUMIF(대진표!$D:$D,$A11,대진표!$F:$F)+SUMIF(대진표!$G:$G,$A11,대진표!$E:$E)+SUMIF(대진표!$H:$H,$A11,대진표!$E:$E))</f>
        <v>-9</v>
      </c>
      <c r="D11" s="1">
        <f>(B11*100)+(F11*10)+(C11*1)+(IF(LEFT(설정!$B11,1)="W",30,0))+(SUMPRODUCT((대진표!$C$2:$C$19=$A11)*ISNUMBER(MATCH(대진표!$D$2:$D$19,설정!$C$10:$C$13,0))*(대진표!$E$2:$E$19&gt;대진표!$F$2:$F$19))+SUMPRODUCT((대진표!$D$2:$D$19=$A11)*ISNUMBER(MATCH(대진표!$C$2:$C$19,설정!$C$10:$C$13,0))*(대진표!$E$2:$E$19&gt;대진표!$F$2:$F$19))+SUMPRODUCT((대진표!$G$2:$G$19=$A11)*ISNUMBER(MATCH(대진표!$H$2:$H$19,설정!$C$10:$C$13,0))*(대진표!$F$2:$F$19&gt;대진표!$E$2:$E$19))+SUMPRODUCT((대진표!$H$2:$H$19=$A11)*ISNUMBER(MATCH(대진표!$G$2:$G$19,설정!$C$10:$C$13,0))*(대진표!$F$2:$F$19&gt;대진표!$E$2:$E$19)))*5</f>
        <v>151</v>
      </c>
      <c r="E11" s="1">
        <f t="shared" si="0"/>
        <v>11</v>
      </c>
      <c r="F11" s="1">
        <f>COUNTIFS(대진표!$C:$C,$A11,대진표!$E:$E,"&lt;&gt;-")+COUNTIFS(대진표!$D:$D,$A11,대진표!$E:$E,"&lt;&gt;-")+COUNTIFS(대진표!$G:$G,$A11,대진표!$F:$F,"&lt;&gt;-")+COUNTIFS(대진표!$H:$H,$A11,대진표!$F:$F,"&lt;&gt;-")</f>
        <v>6</v>
      </c>
      <c r="G11" s="1">
        <v>40</v>
      </c>
      <c r="H11" s="1">
        <f t="shared" si="1"/>
        <v>191</v>
      </c>
      <c r="I11" s="1">
        <f t="shared" si="2"/>
        <v>11</v>
      </c>
    </row>
    <row r="12" spans="1:14" ht="15.75" customHeight="1">
      <c r="A12" s="16" t="str">
        <f>설정!C12</f>
        <v>김다현</v>
      </c>
      <c r="B12" s="1">
        <f>SUMPRODUCT((대진표!$C$2:$C$19=$A12)*(대진표!$E$2:$E$19&gt;대진표!$F$2:$F$19))+SUMPRODUCT((대진표!$D$2:$D$19=$A12)*(대진표!$E$2:$E$19&gt;대진표!$F$2:$F$19))+SUMPRODUCT((대진표!$G$2:$G$19=$A12)*(대진표!$F$2:$F$19&gt;대진표!$E$2:$E$19))+SUMPRODUCT((대진표!$H$2:$H$19=$A12)*(대진표!$F$2:$F$19&gt;대진표!$E$2:$E$19))</f>
        <v>2</v>
      </c>
      <c r="C12" s="1">
        <f>(SUMIF(대진표!$C:$C,$A12,대진표!$E:$E)+SUMIF(대진표!$D:$D,$A12,대진표!$E:$E)+SUMIF(대진표!$G:$G,$A12,대진표!$F:$F)+SUMIF(대진표!$H:$H,$A12,대진표!$F:$F))-(SUMIF(대진표!$C:$C,$A12,대진표!$F:$F)+SUMIF(대진표!$D:$D,$A12,대진표!$F:$F)+SUMIF(대진표!$G:$G,$A12,대진표!$E:$E)+SUMIF(대진표!$H:$H,$A12,대진표!$E:$E))</f>
        <v>1</v>
      </c>
      <c r="D12" s="1">
        <f>(B12*100)+(F12*10)+(C12*1)+(IF(LEFT(설정!$B12,1)="W",30,0))+(SUMPRODUCT((대진표!$C$2:$C$19=$A12)*ISNUMBER(MATCH(대진표!$D$2:$D$19,설정!$C$10:$C$13,0))*(대진표!$E$2:$E$19&gt;대진표!$F$2:$F$19))+SUMPRODUCT((대진표!$D$2:$D$19=$A12)*ISNUMBER(MATCH(대진표!$C$2:$C$19,설정!$C$10:$C$13,0))*(대진표!$E$2:$E$19&gt;대진표!$F$2:$F$19))+SUMPRODUCT((대진표!$G$2:$G$19=$A12)*ISNUMBER(MATCH(대진표!$H$2:$H$19,설정!$C$10:$C$13,0))*(대진표!$F$2:$F$19&gt;대진표!$E$2:$E$19))+SUMPRODUCT((대진표!$H$2:$H$19=$A12)*ISNUMBER(MATCH(대진표!$G$2:$G$19,설정!$C$10:$C$13,0))*(대진표!$F$2:$F$19&gt;대진표!$E$2:$E$19)))*5</f>
        <v>276</v>
      </c>
      <c r="E12" s="1">
        <f t="shared" si="0"/>
        <v>7</v>
      </c>
      <c r="F12" s="1">
        <f>COUNTIFS(대진표!$C:$C,$A12,대진표!$E:$E,"&lt;&gt;-")+COUNTIFS(대진표!$D:$D,$A12,대진표!$E:$E,"&lt;&gt;-")+COUNTIFS(대진표!$G:$G,$A12,대진표!$F:$F,"&lt;&gt;-")+COUNTIFS(대진표!$H:$H,$A12,대진표!$F:$F,"&lt;&gt;-")</f>
        <v>4</v>
      </c>
      <c r="G12" s="1">
        <v>80</v>
      </c>
      <c r="H12" s="1">
        <f t="shared" si="1"/>
        <v>356</v>
      </c>
      <c r="I12" s="1">
        <f t="shared" si="2"/>
        <v>7</v>
      </c>
    </row>
    <row r="13" spans="1:14" ht="15.75" customHeight="1">
      <c r="A13" s="16" t="str">
        <f>설정!C13</f>
        <v>황지애</v>
      </c>
      <c r="B13" s="1">
        <f>SUMPRODUCT((대진표!$C$2:$C$19=$A13)*(대진표!$E$2:$E$19&gt;대진표!$F$2:$F$19))+SUMPRODUCT((대진표!$D$2:$D$19=$A13)*(대진표!$E$2:$E$19&gt;대진표!$F$2:$F$19))+SUMPRODUCT((대진표!$G$2:$G$19=$A13)*(대진표!$F$2:$F$19&gt;대진표!$E$2:$E$19))+SUMPRODUCT((대진표!$H$2:$H$19=$A13)*(대진표!$F$2:$F$19&gt;대진표!$E$2:$E$19))</f>
        <v>2</v>
      </c>
      <c r="C13" s="1">
        <f>(SUMIF(대진표!$C:$C,$A13,대진표!$E:$E)+SUMIF(대진표!$D:$D,$A13,대진표!$E:$E)+SUMIF(대진표!$G:$G,$A13,대진표!$F:$F)+SUMIF(대진표!$H:$H,$A13,대진표!$F:$F))-(SUMIF(대진표!$C:$C,$A13,대진표!$F:$F)+SUMIF(대진표!$D:$D,$A13,대진표!$F:$F)+SUMIF(대진표!$G:$G,$A13,대진표!$E:$E)+SUMIF(대진표!$H:$H,$A13,대진표!$E:$E))</f>
        <v>-1</v>
      </c>
      <c r="D13" s="1">
        <f>(B13*100)+(F13*10)+(C13*1)+(IF(LEFT(설정!$B13,1)="W",30,0))+(SUMPRODUCT((대진표!$C$2:$C$19=$A13)*ISNUMBER(MATCH(대진표!$D$2:$D$19,설정!$C$10:$C$13,0))*(대진표!$E$2:$E$19&gt;대진표!$F$2:$F$19))+SUMPRODUCT((대진표!$D$2:$D$19=$A13)*ISNUMBER(MATCH(대진표!$C$2:$C$19,설정!$C$10:$C$13,0))*(대진표!$E$2:$E$19&gt;대진표!$F$2:$F$19))+SUMPRODUCT((대진표!$G$2:$G$19=$A13)*ISNUMBER(MATCH(대진표!$H$2:$H$19,설정!$C$10:$C$13,0))*(대진표!$F$2:$F$19&gt;대진표!$E$2:$E$19))+SUMPRODUCT((대진표!$H$2:$H$19=$A13)*ISNUMBER(MATCH(대진표!$G$2:$G$19,설정!$C$10:$C$13,0))*(대진표!$F$2:$F$19&gt;대진표!$E$2:$E$19)))*5</f>
        <v>274</v>
      </c>
      <c r="E13" s="1">
        <f t="shared" si="0"/>
        <v>8</v>
      </c>
      <c r="F13" s="1">
        <f>COUNTIFS(대진표!$C:$C,$A13,대진표!$E:$E,"&lt;&gt;-")+COUNTIFS(대진표!$D:$D,$A13,대진표!$E:$E,"&lt;&gt;-")+COUNTIFS(대진표!$G:$G,$A13,대진표!$F:$F,"&lt;&gt;-")+COUNTIFS(대진표!$H:$H,$A13,대진표!$F:$F,"&lt;&gt;-")</f>
        <v>4</v>
      </c>
      <c r="G13" s="1">
        <v>40</v>
      </c>
      <c r="H13" s="1">
        <f t="shared" si="1"/>
        <v>314</v>
      </c>
      <c r="I13" s="1">
        <f t="shared" si="2"/>
        <v>8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설정</vt:lpstr>
      <vt:lpstr>대진표</vt:lpstr>
      <vt:lpstr>점수표(총점1000점)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JongHun Jeong</cp:lastModifiedBy>
  <dcterms:created xsi:type="dcterms:W3CDTF">2026-04-05T07:47:34Z</dcterms:created>
  <dcterms:modified xsi:type="dcterms:W3CDTF">2026-04-05T08:00:24Z</dcterms:modified>
</cp:coreProperties>
</file>